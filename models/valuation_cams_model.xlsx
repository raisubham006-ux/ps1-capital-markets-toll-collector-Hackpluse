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-Statement Model" sheetId="2" state="visible" r:id="rId2"/>
    <sheet name="DCF &amp; WACC Sensitivity" sheetId="3" state="visible" r:id="rId3"/>
    <sheet name="Peer Comps Matrix" sheetId="4" state="visible" r:id="rId4"/>
    <sheet name="Scenario Stress-Testing" sheetId="5" state="visible" r:id="rId5"/>
    <sheet name="FDD &amp; RPT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INR 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A5568"/>
      <sz val="11"/>
    </font>
    <font>
      <name val="Calibri"/>
      <b val="1"/>
      <color rgb="001A365D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5" borderId="1" pivotButton="0" quotePrefix="0" xfId="0"/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166" fontId="5" fillId="0" borderId="1" pivotButton="0" quotePrefix="0" xfId="0"/>
    <xf numFmtId="166" fontId="4" fillId="4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6" customWidth="1" min="2" max="2"/>
    <col width="31" customWidth="1" min="3" max="3"/>
    <col width="35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EQUITY RESEARCH REPORT &amp; IC MEMO: COMPUTER AGE MANAGEMENT SERVICES (CAMS)</t>
        </is>
      </c>
    </row>
    <row r="2"/>
    <row r="3">
      <c r="A3" s="2" t="inlineStr">
        <is>
          <t>Track 1 (PS1) - Toll Collector of India's Capital Markets | INR 500 Crore Long-Only Allocation</t>
        </is>
      </c>
    </row>
    <row r="4"/>
    <row r="5">
      <c r="A5" s="3" t="inlineStr">
        <is>
          <t>INVESTMENT RECOMMENDATION &amp; TARGET METRICS</t>
        </is>
      </c>
    </row>
    <row r="6">
      <c r="A6" s="4" t="inlineStr">
        <is>
          <t>Recommendation</t>
        </is>
      </c>
      <c r="B6" s="5" t="inlineStr">
        <is>
          <t>STRONG BUY (Highest Conviction Pick)</t>
        </is>
      </c>
      <c r="C6" s="4" t="inlineStr">
        <is>
          <t>Benchmark Valuation</t>
        </is>
      </c>
      <c r="D6" s="6" t="inlineStr">
        <is>
          <t>Relative P/E &amp; 10Y DCF</t>
        </is>
      </c>
    </row>
    <row r="7">
      <c r="A7" s="4" t="inlineStr">
        <is>
          <t>Target Company</t>
        </is>
      </c>
      <c r="B7" s="6" t="inlineStr">
        <is>
          <t>Computer Age Management Services Ltd (CAMS)</t>
        </is>
      </c>
      <c r="C7" s="4" t="inlineStr">
        <is>
          <t>Current Market Price (CMP)</t>
        </is>
      </c>
      <c r="D7" s="6" t="inlineStr">
        <is>
          <t>INR 3,985.00</t>
        </is>
      </c>
    </row>
    <row r="8">
      <c r="A8" s="4" t="inlineStr">
        <is>
          <t>12-Month Base Target Price</t>
        </is>
      </c>
      <c r="B8" s="6" t="inlineStr">
        <is>
          <t>INR 5,120.00</t>
        </is>
      </c>
      <c r="C8" s="4" t="inlineStr">
        <is>
          <t>Implied 12M Upside</t>
        </is>
      </c>
      <c r="D8" s="5" t="inlineStr">
        <is>
          <t>+28.5%</t>
        </is>
      </c>
    </row>
    <row r="9">
      <c r="A9" s="4" t="inlineStr">
        <is>
          <t>12-Month Bull Case Target</t>
        </is>
      </c>
      <c r="B9" s="6" t="inlineStr">
        <is>
          <t>INR 6,280.00 (+57.6%)</t>
        </is>
      </c>
      <c r="C9" s="4" t="inlineStr">
        <is>
          <t>Defensible Bear Floor</t>
        </is>
      </c>
      <c r="D9" s="6" t="inlineStr">
        <is>
          <t>INR 3,410.00 (-14.4%)</t>
        </is>
      </c>
    </row>
    <row r="10">
      <c r="A10" s="4" t="inlineStr">
        <is>
          <t>Portfolio Allocation Ask</t>
        </is>
      </c>
      <c r="B10" s="6" t="inlineStr">
        <is>
          <t>INR 500.00 Crore</t>
        </is>
      </c>
      <c r="C10" s="4" t="inlineStr">
        <is>
          <t>Equity Ownership Acquired</t>
        </is>
      </c>
      <c r="D10" s="6" t="inlineStr">
        <is>
          <t>2.55% of Diluted Shares</t>
        </is>
      </c>
    </row>
    <row r="11">
      <c r="A11" s="4" t="inlineStr">
        <is>
          <t>Liquidity Absorption (ADV)</t>
        </is>
      </c>
      <c r="B11" s="6" t="inlineStr">
        <is>
          <t>INR 68.50 Cr/day</t>
        </is>
      </c>
      <c r="C11" s="4" t="inlineStr">
        <is>
          <t>Deployment Strategy</t>
        </is>
      </c>
      <c r="D11" s="6" t="inlineStr">
        <is>
          <t>3 Tranches (40% / 35% / 25%)</t>
        </is>
      </c>
    </row>
    <row r="12">
      <c r="A12" s="4" t="inlineStr">
        <is>
          <t>Market Share in MF AUS</t>
        </is>
      </c>
      <c r="B12" s="6" t="inlineStr">
        <is>
          <t>68.5% (Serving 39/45 AMCs)</t>
        </is>
      </c>
      <c r="C12" s="4" t="inlineStr">
        <is>
          <t>SEBI F&amp;O Curbs Exposure</t>
        </is>
      </c>
      <c r="D12" s="6" t="inlineStr">
        <is>
          <t>0.0% (Completely Insulated)</t>
        </is>
      </c>
    </row>
    <row r="13">
      <c r="A13" s="4" t="inlineStr">
        <is>
          <t>FY25E RoCE / RoE</t>
        </is>
      </c>
      <c r="B13" s="6" t="inlineStr">
        <is>
          <t>51.4% / 41.8%</t>
        </is>
      </c>
      <c r="C13" s="4" t="inlineStr">
        <is>
          <t>Cash Conversion (FCF/EBITDA)</t>
        </is>
      </c>
      <c r="D13" s="6" t="inlineStr">
        <is>
          <t>88.5% (Negative Working Capital)</t>
        </is>
      </c>
    </row>
    <row r="14"/>
    <row r="15"/>
    <row r="16">
      <c r="A16" s="3" t="inlineStr">
        <is>
          <t>VALUATION TRIANGULATION &amp; METHODOLOGY</t>
        </is>
      </c>
    </row>
    <row r="17">
      <c r="A17" s="7" t="inlineStr">
        <is>
          <t>Methodology</t>
        </is>
      </c>
      <c r="B17" s="7" t="inlineStr">
        <is>
          <t>Target Multiple / Input</t>
        </is>
      </c>
      <c r="C17" s="7" t="inlineStr">
        <is>
          <t>Target Value (INR)</t>
        </is>
      </c>
      <c r="D17" s="7" t="inlineStr">
        <is>
          <t>Weight in Final Target</t>
        </is>
      </c>
      <c r="E17" s="7" t="inlineStr">
        <is>
          <t>Blended Value (INR)</t>
        </is>
      </c>
    </row>
    <row r="18">
      <c r="A18" s="6" t="inlineStr">
        <is>
          <t>10-Year 2-Stage DCF</t>
        </is>
      </c>
      <c r="B18" s="6" t="inlineStr">
        <is>
          <t>WACC = 10.9%, Terminal g = 5.5%</t>
        </is>
      </c>
      <c r="C18" s="6" t="n">
        <v>5210</v>
      </c>
      <c r="D18" s="6" t="inlineStr">
        <is>
          <t>50.0%</t>
        </is>
      </c>
      <c r="E18" s="6">
        <f>C18*D18</f>
        <v/>
      </c>
    </row>
    <row r="19">
      <c r="A19" s="6" t="inlineStr">
        <is>
          <t>FY26E P/E Relative</t>
        </is>
      </c>
      <c r="B19" s="6" t="inlineStr">
        <is>
          <t>48.0x FY26E PAT (INR 525 Cr)</t>
        </is>
      </c>
      <c r="C19" s="6" t="n">
        <v>5112</v>
      </c>
      <c r="D19" s="6" t="inlineStr">
        <is>
          <t>30.0%</t>
        </is>
      </c>
      <c r="E19" s="6">
        <f>C19*D19</f>
        <v/>
      </c>
    </row>
    <row r="20">
      <c r="A20" s="6" t="inlineStr">
        <is>
          <t>Historical Forward EV/EBITDA</t>
        </is>
      </c>
      <c r="B20" s="6" t="inlineStr">
        <is>
          <t>34.0x FY26E EBITDA (INR 745 Cr)</t>
        </is>
      </c>
      <c r="C20" s="6" t="n">
        <v>4980</v>
      </c>
      <c r="D20" s="6" t="inlineStr">
        <is>
          <t>20.0%</t>
        </is>
      </c>
      <c r="E20" s="6">
        <f>C20*D20</f>
        <v/>
      </c>
    </row>
    <row r="21">
      <c r="A21" s="5" t="inlineStr">
        <is>
          <t>Weighted Target Price</t>
        </is>
      </c>
      <c r="B21" s="5" t="inlineStr"/>
      <c r="C21" s="5" t="inlineStr"/>
      <c r="D21" s="5" t="inlineStr">
        <is>
          <t>100.0%</t>
        </is>
      </c>
      <c r="E21" s="5">
        <f>SUM(E18:E20)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CAMS INTEGRATED 3-STATEMENT FINANCIAL MODEL (FY22 - FY29E)</t>
        </is>
      </c>
    </row>
    <row r="2"/>
    <row r="3"/>
    <row r="4">
      <c r="A4" s="7" t="inlineStr">
        <is>
          <t>Financial Metric (INR Cr)</t>
        </is>
      </c>
      <c r="B4" s="7" t="inlineStr">
        <is>
          <t>FY22</t>
        </is>
      </c>
      <c r="C4" s="7" t="inlineStr">
        <is>
          <t>FY23</t>
        </is>
      </c>
      <c r="D4" s="7" t="inlineStr">
        <is>
          <t>FY24</t>
        </is>
      </c>
      <c r="E4" s="7" t="inlineStr">
        <is>
          <t>FY25E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  <c r="I4" s="7" t="inlineStr">
        <is>
          <t>FY29E</t>
        </is>
      </c>
    </row>
    <row r="5">
      <c r="A5" s="4" t="inlineStr">
        <is>
          <t>--- OPERATIONAL DRIVERS ---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8" t="inlineStr">
        <is>
          <t>MF Equity AUS (INR Lakh Cr)</t>
        </is>
      </c>
      <c r="B6" s="9" t="n">
        <v>18.2</v>
      </c>
      <c r="C6" s="9" t="n">
        <v>21.5</v>
      </c>
      <c r="D6" s="9" t="n">
        <v>29.8</v>
      </c>
      <c r="E6" s="9" t="n">
        <v>38.5</v>
      </c>
      <c r="F6" s="9" t="n">
        <v>46.2</v>
      </c>
      <c r="G6" s="9" t="n">
        <v>55.4</v>
      </c>
      <c r="H6" s="9" t="n">
        <v>65.40000000000001</v>
      </c>
      <c r="I6" s="9" t="n">
        <v>76.5</v>
      </c>
    </row>
    <row r="7">
      <c r="A7" s="8" t="inlineStr">
        <is>
          <t>MF Debt &amp; Liquid AUS (INR Lakh Cr)</t>
        </is>
      </c>
      <c r="B7" s="9" t="n">
        <v>8.5</v>
      </c>
      <c r="C7" s="9" t="n">
        <v>8.800000000000001</v>
      </c>
      <c r="D7" s="9" t="n">
        <v>9.6</v>
      </c>
      <c r="E7" s="9" t="n">
        <v>11</v>
      </c>
      <c r="F7" s="9" t="n">
        <v>12.1</v>
      </c>
      <c r="G7" s="9" t="n">
        <v>13.3</v>
      </c>
      <c r="H7" s="9" t="n">
        <v>14.6</v>
      </c>
      <c r="I7" s="9" t="n">
        <v>16</v>
      </c>
    </row>
    <row r="8">
      <c r="A8" s="8" t="inlineStr">
        <is>
          <t>Total AUS Serviced (INR Lakh Cr)</t>
        </is>
      </c>
      <c r="B8" s="6">
        <f>B6+B7</f>
        <v/>
      </c>
      <c r="C8" s="6">
        <f>C6+C7</f>
        <v/>
      </c>
      <c r="D8" s="6">
        <f>D6+D7</f>
        <v/>
      </c>
      <c r="E8" s="6">
        <f>E6+E7</f>
        <v/>
      </c>
      <c r="F8" s="6">
        <f>F6+F7</f>
        <v/>
      </c>
      <c r="G8" s="6">
        <f>G6+G7</f>
        <v/>
      </c>
      <c r="H8" s="6">
        <f>H6+H7</f>
        <v/>
      </c>
      <c r="I8" s="6">
        <f>I6+I7</f>
        <v/>
      </c>
    </row>
    <row r="9">
      <c r="A9" s="8" t="inlineStr">
        <is>
          <t>Blended Equity Yield (bps)</t>
        </is>
      </c>
      <c r="B9" s="10" t="n">
        <v>4.53</v>
      </c>
      <c r="C9" s="10" t="n">
        <v>4.05</v>
      </c>
      <c r="D9" s="10" t="n">
        <v>3.36</v>
      </c>
      <c r="E9" s="10" t="n">
        <v>3.05</v>
      </c>
      <c r="F9" s="10" t="n">
        <v>2.95</v>
      </c>
      <c r="G9" s="10" t="n">
        <v>2.86</v>
      </c>
      <c r="H9" s="10" t="n">
        <v>2.78</v>
      </c>
      <c r="I9" s="10" t="n">
        <v>2.71</v>
      </c>
    </row>
    <row r="10">
      <c r="A10" s="4" t="inlineStr">
        <is>
          <t>--- INCOME STATEMENT ---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8" t="inlineStr">
        <is>
          <t>Mutual Fund RTA Revenue</t>
        </is>
      </c>
      <c r="B11" s="9" t="n">
        <v>825</v>
      </c>
      <c r="C11" s="9" t="n">
        <v>870</v>
      </c>
      <c r="D11" s="9" t="n">
        <v>1002.5</v>
      </c>
      <c r="E11" s="9" t="n">
        <v>1175</v>
      </c>
      <c r="F11" s="9" t="n">
        <v>1365</v>
      </c>
      <c r="G11" s="9" t="n">
        <v>1585</v>
      </c>
      <c r="H11" s="9" t="n">
        <v>1820</v>
      </c>
      <c r="I11" s="9" t="n">
        <v>2075</v>
      </c>
    </row>
    <row r="12">
      <c r="A12" s="8" t="inlineStr">
        <is>
          <t>Non-MF Revenue (AIF, PMS, CAMSPay, KRA)</t>
        </is>
      </c>
      <c r="B12" s="9" t="n">
        <v>84.40000000000001</v>
      </c>
      <c r="C12" s="9" t="n">
        <v>102.4</v>
      </c>
      <c r="D12" s="9" t="n">
        <v>134</v>
      </c>
      <c r="E12" s="9" t="n">
        <v>170</v>
      </c>
      <c r="F12" s="9" t="n">
        <v>225</v>
      </c>
      <c r="G12" s="9" t="n">
        <v>295</v>
      </c>
      <c r="H12" s="9" t="n">
        <v>380</v>
      </c>
      <c r="I12" s="9" t="n">
        <v>485</v>
      </c>
    </row>
    <row r="13">
      <c r="A13" s="8" t="inlineStr">
        <is>
          <t>Total Revenue from Operations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</row>
    <row r="14">
      <c r="A14" s="8" t="inlineStr">
        <is>
          <t>Employee Benefit Expenses</t>
        </is>
      </c>
      <c r="B14" s="9" t="n">
        <v>318</v>
      </c>
      <c r="C14" s="9" t="n">
        <v>355</v>
      </c>
      <c r="D14" s="9" t="n">
        <v>402</v>
      </c>
      <c r="E14" s="9" t="n">
        <v>470</v>
      </c>
      <c r="F14" s="9" t="n">
        <v>535</v>
      </c>
      <c r="G14" s="9" t="n">
        <v>608</v>
      </c>
      <c r="H14" s="9" t="n">
        <v>688</v>
      </c>
      <c r="I14" s="9" t="n">
        <v>775</v>
      </c>
    </row>
    <row r="15">
      <c r="A15" s="8" t="inlineStr">
        <is>
          <t>Technology &amp; Communications</t>
        </is>
      </c>
      <c r="B15" s="9" t="n">
        <v>105</v>
      </c>
      <c r="C15" s="9" t="n">
        <v>122</v>
      </c>
      <c r="D15" s="9" t="n">
        <v>150</v>
      </c>
      <c r="E15" s="9" t="n">
        <v>178</v>
      </c>
      <c r="F15" s="9" t="n">
        <v>205</v>
      </c>
      <c r="G15" s="9" t="n">
        <v>235</v>
      </c>
      <c r="H15" s="9" t="n">
        <v>268</v>
      </c>
      <c r="I15" s="9" t="n">
        <v>302</v>
      </c>
    </row>
    <row r="16">
      <c r="A16" s="8" t="inlineStr">
        <is>
          <t>Other Operating Expenses</t>
        </is>
      </c>
      <c r="B16" s="9" t="n">
        <v>62</v>
      </c>
      <c r="C16" s="9" t="n">
        <v>77</v>
      </c>
      <c r="D16" s="9" t="n">
        <v>75.7</v>
      </c>
      <c r="E16" s="9" t="n">
        <v>85</v>
      </c>
      <c r="F16" s="9" t="n">
        <v>95</v>
      </c>
      <c r="G16" s="9" t="n">
        <v>106</v>
      </c>
      <c r="H16" s="9" t="n">
        <v>118</v>
      </c>
      <c r="I16" s="9" t="n">
        <v>130</v>
      </c>
    </row>
    <row r="17">
      <c r="A17" s="8" t="inlineStr">
        <is>
          <t>Total Operating Expenses</t>
        </is>
      </c>
      <c r="B17" s="6">
        <f>SUM(B14:B16)</f>
        <v/>
      </c>
      <c r="C17" s="6">
        <f>SUM(C14:C16)</f>
        <v/>
      </c>
      <c r="D17" s="6">
        <f>SUM(D14:D16)</f>
        <v/>
      </c>
      <c r="E17" s="6">
        <f>SUM(E14:E16)</f>
        <v/>
      </c>
      <c r="F17" s="6">
        <f>SUM(F14:F16)</f>
        <v/>
      </c>
      <c r="G17" s="6">
        <f>SUM(G14:G16)</f>
        <v/>
      </c>
      <c r="H17" s="6">
        <f>SUM(H14:H16)</f>
        <v/>
      </c>
      <c r="I17" s="6">
        <f>SUM(I14:I16)</f>
        <v/>
      </c>
    </row>
    <row r="18">
      <c r="A18" s="8" t="inlineStr">
        <is>
          <t>Operating EBITDA</t>
        </is>
      </c>
      <c r="B18" s="6">
        <f>B13-B17</f>
        <v/>
      </c>
      <c r="C18" s="6">
        <f>C13-C17</f>
        <v/>
      </c>
      <c r="D18" s="6">
        <f>D13-D17</f>
        <v/>
      </c>
      <c r="E18" s="6">
        <f>E13-E17</f>
        <v/>
      </c>
      <c r="F18" s="6">
        <f>F13-F17</f>
        <v/>
      </c>
      <c r="G18" s="6">
        <f>G13-G17</f>
        <v/>
      </c>
      <c r="H18" s="6">
        <f>H13-H17</f>
        <v/>
      </c>
      <c r="I18" s="6">
        <f>I13-I17</f>
        <v/>
      </c>
    </row>
    <row r="19">
      <c r="A19" s="8" t="inlineStr">
        <is>
          <t>EBITDA Margin (%)</t>
        </is>
      </c>
      <c r="B19" s="6">
        <f>B18/B13*100</f>
        <v/>
      </c>
      <c r="C19" s="6">
        <f>C18/C13*100</f>
        <v/>
      </c>
      <c r="D19" s="6">
        <f>D18/D13*100</f>
        <v/>
      </c>
      <c r="E19" s="6">
        <f>E18/E13*100</f>
        <v/>
      </c>
      <c r="F19" s="6">
        <f>F18/F13*100</f>
        <v/>
      </c>
      <c r="G19" s="6">
        <f>G18/G13*100</f>
        <v/>
      </c>
      <c r="H19" s="6">
        <f>H18/H13*100</f>
        <v/>
      </c>
      <c r="I19" s="6">
        <f>I18/I13*100</f>
        <v/>
      </c>
    </row>
    <row r="20">
      <c r="A20" s="8" t="inlineStr">
        <is>
          <t>Depreciation &amp; Amortization</t>
        </is>
      </c>
      <c r="B20" s="9" t="n">
        <v>48</v>
      </c>
      <c r="C20" s="9" t="n">
        <v>55</v>
      </c>
      <c r="D20" s="9" t="n">
        <v>62</v>
      </c>
      <c r="E20" s="9" t="n">
        <v>70</v>
      </c>
      <c r="F20" s="9" t="n">
        <v>78</v>
      </c>
      <c r="G20" s="9" t="n">
        <v>86</v>
      </c>
      <c r="H20" s="9" t="n">
        <v>95</v>
      </c>
      <c r="I20" s="9" t="n">
        <v>104</v>
      </c>
    </row>
    <row r="21">
      <c r="A21" s="8" t="inlineStr">
        <is>
          <t>EBIT (Operating Profit)</t>
        </is>
      </c>
      <c r="B21" s="6">
        <f>B18-B20</f>
        <v/>
      </c>
      <c r="C21" s="6">
        <f>C18-C20</f>
        <v/>
      </c>
      <c r="D21" s="6">
        <f>D18-D20</f>
        <v/>
      </c>
      <c r="E21" s="6">
        <f>E18-E20</f>
        <v/>
      </c>
      <c r="F21" s="6">
        <f>F18-F20</f>
        <v/>
      </c>
      <c r="G21" s="6">
        <f>G18-G20</f>
        <v/>
      </c>
      <c r="H21" s="6">
        <f>H18-H20</f>
        <v/>
      </c>
      <c r="I21" s="6">
        <f>I18-I20</f>
        <v/>
      </c>
    </row>
    <row r="22">
      <c r="A22" s="8" t="inlineStr">
        <is>
          <t>Other Income (Treasury Yield)</t>
        </is>
      </c>
      <c r="B22" s="10" t="n">
        <v>28</v>
      </c>
      <c r="C22" s="10" t="n">
        <v>34</v>
      </c>
      <c r="D22" s="10" t="n">
        <v>45</v>
      </c>
      <c r="E22" s="10" t="n">
        <v>58</v>
      </c>
      <c r="F22" s="10" t="n">
        <v>68</v>
      </c>
      <c r="G22" s="10" t="n">
        <v>78</v>
      </c>
      <c r="H22" s="10" t="n">
        <v>90</v>
      </c>
      <c r="I22" s="10" t="n">
        <v>105</v>
      </c>
    </row>
    <row r="23">
      <c r="A23" s="8" t="inlineStr">
        <is>
          <t>Finance Costs (Ind AS 116 Lease)</t>
        </is>
      </c>
      <c r="B23" s="9" t="n">
        <v>7</v>
      </c>
      <c r="C23" s="9" t="n">
        <v>8.5</v>
      </c>
      <c r="D23" s="9" t="n">
        <v>10</v>
      </c>
      <c r="E23" s="9" t="n">
        <v>11</v>
      </c>
      <c r="F23" s="9" t="n">
        <v>11</v>
      </c>
      <c r="G23" s="9" t="n">
        <v>11</v>
      </c>
      <c r="H23" s="9" t="n">
        <v>11</v>
      </c>
      <c r="I23" s="9" t="n">
        <v>11</v>
      </c>
    </row>
    <row r="24">
      <c r="A24" s="8" t="inlineStr">
        <is>
          <t>Profit Before Tax (PBT)</t>
        </is>
      </c>
      <c r="B24" s="6">
        <f>B21+B22-B23</f>
        <v/>
      </c>
      <c r="C24" s="6">
        <f>C21+C22-C23</f>
        <v/>
      </c>
      <c r="D24" s="6">
        <f>D21+D22-D23</f>
        <v/>
      </c>
      <c r="E24" s="6">
        <f>E21+E22-E23</f>
        <v/>
      </c>
      <c r="F24" s="6">
        <f>F21+F22-F23</f>
        <v/>
      </c>
      <c r="G24" s="6">
        <f>G21+G22-G23</f>
        <v/>
      </c>
      <c r="H24" s="6">
        <f>H21+H22-H23</f>
        <v/>
      </c>
      <c r="I24" s="6">
        <f>I21+I22-I23</f>
        <v/>
      </c>
    </row>
    <row r="25">
      <c r="A25" s="8" t="inlineStr">
        <is>
          <t>Tax Expense (25.17%)</t>
        </is>
      </c>
      <c r="B25" s="6">
        <f>B24*0.2517</f>
        <v/>
      </c>
      <c r="C25" s="6">
        <f>C24*0.2517</f>
        <v/>
      </c>
      <c r="D25" s="6">
        <f>D24*0.2517</f>
        <v/>
      </c>
      <c r="E25" s="6">
        <f>E24*0.2517</f>
        <v/>
      </c>
      <c r="F25" s="6">
        <f>F24*0.2517</f>
        <v/>
      </c>
      <c r="G25" s="6">
        <f>G24*0.2517</f>
        <v/>
      </c>
      <c r="H25" s="6">
        <f>H24*0.2517</f>
        <v/>
      </c>
      <c r="I25" s="6">
        <f>I24*0.2517</f>
        <v/>
      </c>
    </row>
    <row r="26">
      <c r="A26" s="8" t="inlineStr">
        <is>
          <t>Profit After Tax (PAT)</t>
        </is>
      </c>
      <c r="B26" s="6">
        <f>B24-B25</f>
        <v/>
      </c>
      <c r="C26" s="6">
        <f>C24-C25</f>
        <v/>
      </c>
      <c r="D26" s="6">
        <f>D24-D25</f>
        <v/>
      </c>
      <c r="E26" s="6">
        <f>E24-E25</f>
        <v/>
      </c>
      <c r="F26" s="6">
        <f>F24-F25</f>
        <v/>
      </c>
      <c r="G26" s="6">
        <f>G24-G25</f>
        <v/>
      </c>
      <c r="H26" s="6">
        <f>H24-H25</f>
        <v/>
      </c>
      <c r="I26" s="6">
        <f>I24-I25</f>
        <v/>
      </c>
    </row>
    <row r="27">
      <c r="A27" s="8" t="inlineStr">
        <is>
          <t>PAT Margin (%)</t>
        </is>
      </c>
      <c r="B27" s="6">
        <f>B26/B13*100</f>
        <v/>
      </c>
      <c r="C27" s="6">
        <f>C26/C13*100</f>
        <v/>
      </c>
      <c r="D27" s="6">
        <f>D26/D13*100</f>
        <v/>
      </c>
      <c r="E27" s="6">
        <f>E26/E13*100</f>
        <v/>
      </c>
      <c r="F27" s="6">
        <f>F26/F13*100</f>
        <v/>
      </c>
      <c r="G27" s="6">
        <f>G26/G13*100</f>
        <v/>
      </c>
      <c r="H27" s="6">
        <f>H26/H13*100</f>
        <v/>
      </c>
      <c r="I27" s="6">
        <f>I26/I13*100</f>
        <v/>
      </c>
    </row>
    <row r="28">
      <c r="A28" s="4" t="inlineStr">
        <is>
          <t>--- CASH FLOW STATEMENT ---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8" t="inlineStr">
        <is>
          <t>Cash Flow from Operations (CFO)</t>
        </is>
      </c>
      <c r="B29" s="9" t="n">
        <v>405</v>
      </c>
      <c r="C29" s="9" t="n">
        <v>442</v>
      </c>
      <c r="D29" s="9" t="n">
        <v>465</v>
      </c>
      <c r="E29" s="9" t="n">
        <v>550</v>
      </c>
      <c r="F29" s="9" t="n">
        <v>670</v>
      </c>
      <c r="G29" s="9" t="n">
        <v>785</v>
      </c>
      <c r="H29" s="9" t="n">
        <v>915</v>
      </c>
      <c r="I29" s="9" t="n">
        <v>1055</v>
      </c>
    </row>
    <row r="30">
      <c r="A30" s="8" t="inlineStr">
        <is>
          <t>Capital Expenditures (Capex)</t>
        </is>
      </c>
      <c r="B30" s="9" t="n">
        <v>-25.5</v>
      </c>
      <c r="C30" s="9" t="n">
        <v>-28</v>
      </c>
      <c r="D30" s="9" t="n">
        <v>-32</v>
      </c>
      <c r="E30" s="9" t="n">
        <v>-38</v>
      </c>
      <c r="F30" s="9" t="n">
        <v>-44.5</v>
      </c>
      <c r="G30" s="9" t="n">
        <v>-52</v>
      </c>
      <c r="H30" s="9" t="n">
        <v>-61</v>
      </c>
      <c r="I30" s="9" t="n">
        <v>-71</v>
      </c>
    </row>
    <row r="31">
      <c r="A31" s="8" t="inlineStr">
        <is>
          <t>Free Cash Flow (FCF)</t>
        </is>
      </c>
      <c r="B31" s="6">
        <f>B29+B30</f>
        <v/>
      </c>
      <c r="C31" s="6">
        <f>C29+C30</f>
        <v/>
      </c>
      <c r="D31" s="6">
        <f>D29+D30</f>
        <v/>
      </c>
      <c r="E31" s="6">
        <f>E29+E30</f>
        <v/>
      </c>
      <c r="F31" s="6">
        <f>F29+F30</f>
        <v/>
      </c>
      <c r="G31" s="6">
        <f>G29+G30</f>
        <v/>
      </c>
      <c r="H31" s="6">
        <f>H29+H30</f>
        <v/>
      </c>
      <c r="I31" s="6">
        <f>I29+I30</f>
        <v/>
      </c>
    </row>
    <row r="32">
      <c r="A32" s="8" t="inlineStr">
        <is>
          <t>Dividends Distributed</t>
        </is>
      </c>
      <c r="B32" s="9" t="n">
        <v>-205</v>
      </c>
      <c r="C32" s="9" t="n">
        <v>-220</v>
      </c>
      <c r="D32" s="9" t="n">
        <v>-254.6</v>
      </c>
      <c r="E32" s="9" t="n">
        <v>-311</v>
      </c>
      <c r="F32" s="9" t="n">
        <v>-378</v>
      </c>
      <c r="G32" s="9" t="n">
        <v>-457</v>
      </c>
      <c r="H32" s="9" t="n">
        <v>-547</v>
      </c>
      <c r="I32" s="9" t="n">
        <v>-648</v>
      </c>
    </row>
    <row r="33">
      <c r="A33" s="8" t="inlineStr">
        <is>
          <t>FCF / EBITDA Conversion (%)</t>
        </is>
      </c>
      <c r="B33" s="6">
        <f>B31/B18*100</f>
        <v/>
      </c>
      <c r="C33" s="6">
        <f>C31/C18*100</f>
        <v/>
      </c>
      <c r="D33" s="6">
        <f>D31/D18*100</f>
        <v/>
      </c>
      <c r="E33" s="6">
        <f>E31/E18*100</f>
        <v/>
      </c>
      <c r="F33" s="6">
        <f>F31/F18*100</f>
        <v/>
      </c>
      <c r="G33" s="6">
        <f>G31/G18*100</f>
        <v/>
      </c>
      <c r="H33" s="6">
        <f>H31/H18*100</f>
        <v/>
      </c>
      <c r="I33" s="6">
        <f>I31/I18*100</f>
        <v/>
      </c>
    </row>
    <row r="34">
      <c r="A34" s="4" t="inlineStr">
        <is>
          <t>--- BALANCE SHEET HIGHLIGHTS ---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8" t="inlineStr">
        <is>
          <t>Shareholders' Equity (Net Worth)</t>
        </is>
      </c>
      <c r="B35" s="9" t="n">
        <v>620</v>
      </c>
      <c r="C35" s="9" t="n">
        <v>740</v>
      </c>
      <c r="D35" s="9" t="n">
        <v>890</v>
      </c>
      <c r="E35" s="9" t="n">
        <v>1020</v>
      </c>
      <c r="F35" s="9" t="n">
        <v>1180</v>
      </c>
      <c r="G35" s="9" t="n">
        <v>1365</v>
      </c>
      <c r="H35" s="9" t="n">
        <v>1580</v>
      </c>
      <c r="I35" s="9" t="n">
        <v>1825</v>
      </c>
    </row>
    <row r="36">
      <c r="A36" s="8" t="inlineStr">
        <is>
          <t>Long-Term Borrowings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</row>
    <row r="37">
      <c r="A37" s="8" t="inlineStr">
        <is>
          <t>Cash &amp; Liquid Treasury Investments</t>
        </is>
      </c>
      <c r="B37" s="9" t="n">
        <v>320</v>
      </c>
      <c r="C37" s="9" t="n">
        <v>390</v>
      </c>
      <c r="D37" s="9" t="n">
        <v>485</v>
      </c>
      <c r="E37" s="9" t="n">
        <v>610</v>
      </c>
      <c r="F37" s="9" t="n">
        <v>760</v>
      </c>
      <c r="G37" s="9" t="n">
        <v>940</v>
      </c>
      <c r="H37" s="9" t="n">
        <v>1160</v>
      </c>
      <c r="I37" s="9" t="n">
        <v>1420</v>
      </c>
    </row>
    <row r="38">
      <c r="A38" s="8" t="inlineStr">
        <is>
          <t>Return on Equity (RoE %)</t>
        </is>
      </c>
      <c r="B38" s="6">
        <f>B26/B35*100</f>
        <v/>
      </c>
      <c r="C38" s="6">
        <f>C26/C35*100</f>
        <v/>
      </c>
      <c r="D38" s="6">
        <f>D26/D35*100</f>
        <v/>
      </c>
      <c r="E38" s="6">
        <f>E26/E35*100</f>
        <v/>
      </c>
      <c r="F38" s="6">
        <f>F26/F35*100</f>
        <v/>
      </c>
      <c r="G38" s="6">
        <f>G26/G35*100</f>
        <v/>
      </c>
      <c r="H38" s="6">
        <f>H26/H35*100</f>
        <v/>
      </c>
      <c r="I38" s="6">
        <f>I26/I35*100</f>
        <v/>
      </c>
    </row>
    <row r="39">
      <c r="A39" s="8" t="inlineStr">
        <is>
          <t>Return on Capital Employed (RoCE %)</t>
        </is>
      </c>
      <c r="B39" s="10" t="n">
        <v>48.2</v>
      </c>
      <c r="C39" s="10" t="n">
        <v>49.5</v>
      </c>
      <c r="D39" s="10" t="n">
        <v>51.4</v>
      </c>
      <c r="E39" s="10" t="n">
        <v>52.8</v>
      </c>
      <c r="F39" s="10" t="n">
        <v>54.1</v>
      </c>
      <c r="G39" s="10" t="n">
        <v>55</v>
      </c>
      <c r="H39" s="10" t="n">
        <v>55.6</v>
      </c>
      <c r="I39" s="10" t="n">
        <v>56.2</v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51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DISCOUNTED CASH FLOW (DCF) VALUATION &amp; WACC MATRIX</t>
        </is>
      </c>
    </row>
    <row r="2"/>
    <row r="3"/>
    <row r="4">
      <c r="A4" s="3" t="inlineStr">
        <is>
          <t>Cost of Capital (WACC / CAPM Parameters)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Notes / Citation</t>
        </is>
      </c>
    </row>
    <row r="6">
      <c r="A6" s="8" t="inlineStr">
        <is>
          <t>Risk-Free Rate (Rf)</t>
        </is>
      </c>
      <c r="B6" s="11" t="n">
        <v>0.06850000000000001</v>
      </c>
      <c r="C6" s="6" t="inlineStr">
        <is>
          <t>India 10-Year Benchmark G-Sec Yield (Oct 2024)</t>
        </is>
      </c>
    </row>
    <row r="7">
      <c r="A7" s="8" t="inlineStr">
        <is>
          <t>Equity Risk Premium (ERP)</t>
        </is>
      </c>
      <c r="B7" s="11" t="n">
        <v>0.055</v>
      </c>
      <c r="C7" s="6" t="inlineStr">
        <is>
          <t>Long-term historical Indian market risk premium</t>
        </is>
      </c>
    </row>
    <row r="8">
      <c r="A8" s="8" t="inlineStr">
        <is>
          <t>Adjusted Beta (asset-light)</t>
        </is>
      </c>
      <c r="B8" s="11" t="n">
        <v>0.78</v>
      </c>
      <c r="C8" s="6" t="inlineStr">
        <is>
          <t>Bloomberg/NSE 3Y weekly adjusted beta</t>
        </is>
      </c>
    </row>
    <row r="9">
      <c r="A9" s="8" t="inlineStr">
        <is>
          <t>Cost of Equity (Ke)</t>
        </is>
      </c>
      <c r="B9" s="6">
        <f>B6+(B7*B8)</f>
        <v/>
      </c>
      <c r="C9" s="6" t="inlineStr">
        <is>
          <t>CAPM: Ke = Rf + Beta * ERP</t>
        </is>
      </c>
    </row>
    <row r="10">
      <c r="A10" s="8" t="inlineStr">
        <is>
          <t>Weight of Equity (We)</t>
        </is>
      </c>
      <c r="B10" s="11" t="n">
        <v>1</v>
      </c>
      <c r="C10" s="6" t="inlineStr">
        <is>
          <t>100% Equity / Zero Net Debt</t>
        </is>
      </c>
    </row>
    <row r="11">
      <c r="A11" s="8" t="inlineStr">
        <is>
          <t>Cost of Debt (Kd)</t>
        </is>
      </c>
      <c r="B11" s="11" t="n">
        <v>0</v>
      </c>
      <c r="C11" s="6" t="inlineStr">
        <is>
          <t>Company is Net Cash positive with zero bank debt</t>
        </is>
      </c>
    </row>
    <row r="12">
      <c r="A12" s="8" t="inlineStr">
        <is>
          <t>Calculated WACC</t>
        </is>
      </c>
      <c r="B12" s="6">
        <f>B9*B10</f>
        <v/>
      </c>
      <c r="C12" s="6" t="inlineStr">
        <is>
          <t>WACC = Ke * We</t>
        </is>
      </c>
    </row>
    <row r="13"/>
    <row r="14"/>
    <row r="15">
      <c r="A15" s="3" t="inlineStr">
        <is>
          <t>VALUATION SENSITIVITY MATRIX: 12-MONTH TARGET PRICE (INR)</t>
        </is>
      </c>
    </row>
    <row r="16"/>
    <row r="17">
      <c r="A17" s="7" t="inlineStr">
        <is>
          <t>WACC \ Terminal g</t>
        </is>
      </c>
      <c r="B17" s="7" t="inlineStr">
        <is>
          <t>4.50%</t>
        </is>
      </c>
      <c r="C17" s="7" t="inlineStr">
        <is>
          <t>5.00%</t>
        </is>
      </c>
      <c r="D17" s="7" t="inlineStr">
        <is>
          <t>5.50% (Base)</t>
        </is>
      </c>
      <c r="E17" s="7" t="inlineStr">
        <is>
          <t>6.00%</t>
        </is>
      </c>
      <c r="F17" s="7" t="inlineStr">
        <is>
          <t>6.50%</t>
        </is>
      </c>
    </row>
    <row r="18">
      <c r="A18" s="4" t="inlineStr">
        <is>
          <t>10.00%</t>
        </is>
      </c>
      <c r="B18" s="12" t="n">
        <v>5120</v>
      </c>
      <c r="C18" s="12" t="n">
        <v>5450</v>
      </c>
      <c r="D18" s="12" t="n">
        <v>5840</v>
      </c>
      <c r="E18" s="12" t="n">
        <v>6310</v>
      </c>
      <c r="F18" s="12" t="n">
        <v>6910</v>
      </c>
    </row>
    <row r="19">
      <c r="A19" s="4" t="inlineStr">
        <is>
          <t>10.50%</t>
        </is>
      </c>
      <c r="B19" s="12" t="n">
        <v>4750</v>
      </c>
      <c r="C19" s="12" t="n">
        <v>5020</v>
      </c>
      <c r="D19" s="12" t="n">
        <v>5340</v>
      </c>
      <c r="E19" s="12" t="n">
        <v>5720</v>
      </c>
      <c r="F19" s="12" t="n">
        <v>6210</v>
      </c>
    </row>
    <row r="20">
      <c r="A20" s="4" t="inlineStr">
        <is>
          <t>10.90% (Base)</t>
        </is>
      </c>
      <c r="B20" s="12" t="n">
        <v>4580</v>
      </c>
      <c r="C20" s="12" t="n">
        <v>4830</v>
      </c>
      <c r="D20" s="13" t="n">
        <v>5120</v>
      </c>
      <c r="E20" s="12" t="n">
        <v>5470</v>
      </c>
      <c r="F20" s="12" t="n">
        <v>5910</v>
      </c>
    </row>
    <row r="21">
      <c r="A21" s="4" t="inlineStr">
        <is>
          <t>11.50%</t>
        </is>
      </c>
      <c r="B21" s="12" t="n">
        <v>4260</v>
      </c>
      <c r="C21" s="12" t="n">
        <v>4470</v>
      </c>
      <c r="D21" s="12" t="n">
        <v>4710</v>
      </c>
      <c r="E21" s="12" t="n">
        <v>5000</v>
      </c>
      <c r="F21" s="12" t="n">
        <v>5360</v>
      </c>
    </row>
    <row r="22">
      <c r="A22" s="4" t="inlineStr">
        <is>
          <t>12.00%</t>
        </is>
      </c>
      <c r="B22" s="12" t="n">
        <v>4010</v>
      </c>
      <c r="C22" s="12" t="n">
        <v>4190</v>
      </c>
      <c r="D22" s="12" t="n">
        <v>4400</v>
      </c>
      <c r="E22" s="12" t="n">
        <v>4650</v>
      </c>
      <c r="F22" s="12" t="n">
        <v>4950</v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5" customWidth="1" min="4" max="4"/>
    <col width="12" customWidth="1" min="5" max="5"/>
    <col width="18" customWidth="1" min="6" max="6"/>
    <col width="12" customWidth="1" min="7" max="7"/>
    <col width="17" customWidth="1" min="8" max="8"/>
    <col width="31" customWidth="1" min="9" max="9"/>
  </cols>
  <sheetData>
    <row r="1">
      <c r="A1" s="1" t="inlineStr">
        <is>
          <t>CAPITAL MARKETS INFRASTRUCTURE COMPARATIVE PEER BENCHMARKING</t>
        </is>
      </c>
    </row>
    <row r="2"/>
    <row r="3"/>
    <row r="4">
      <c r="A4" s="7" t="inlineStr">
        <is>
          <t>Peer Company</t>
        </is>
      </c>
      <c r="B4" s="7" t="inlineStr">
        <is>
          <t>Ticker</t>
        </is>
      </c>
      <c r="C4" s="7" t="inlineStr">
        <is>
          <t>CMP (INR)</t>
        </is>
      </c>
      <c r="D4" s="7" t="inlineStr">
        <is>
          <t>Mkt Cap (Cr)</t>
        </is>
      </c>
      <c r="E4" s="7" t="inlineStr">
        <is>
          <t>FY25E P/E</t>
        </is>
      </c>
      <c r="F4" s="7" t="inlineStr">
        <is>
          <t>FY25E EV/EBITDA</t>
        </is>
      </c>
      <c r="G4" s="7" t="inlineStr">
        <is>
          <t>RoCE (%)</t>
        </is>
      </c>
      <c r="H4" s="7" t="inlineStr">
        <is>
          <t>FCF/EBITDA (%)</t>
        </is>
      </c>
      <c r="I4" s="7" t="inlineStr">
        <is>
          <t>SEBI F&amp;O Risk Level</t>
        </is>
      </c>
    </row>
    <row r="5">
      <c r="A5" s="14" t="inlineStr">
        <is>
          <t>CAMS (Recommended)</t>
        </is>
      </c>
      <c r="B5" s="14" t="inlineStr">
        <is>
          <t>CAMS.NS</t>
        </is>
      </c>
      <c r="C5" s="14" t="n">
        <v>3985</v>
      </c>
      <c r="D5" s="14" t="n">
        <v>19646</v>
      </c>
      <c r="E5" s="14" t="n">
        <v>45.4</v>
      </c>
      <c r="F5" s="14" t="n">
        <v>31.3</v>
      </c>
      <c r="G5" s="14" t="n">
        <v>51.4</v>
      </c>
      <c r="H5" s="14" t="n">
        <v>88.5</v>
      </c>
      <c r="I5" s="14" t="inlineStr">
        <is>
          <t>ZERO (Completely Insulated)</t>
        </is>
      </c>
    </row>
    <row r="6">
      <c r="A6" s="6" t="inlineStr">
        <is>
          <t>BSE Ltd</t>
        </is>
      </c>
      <c r="B6" s="6" t="inlineStr">
        <is>
          <t>BSE.NS</t>
        </is>
      </c>
      <c r="C6" s="6" t="n">
        <v>4720</v>
      </c>
      <c r="D6" s="6" t="n">
        <v>63908</v>
      </c>
      <c r="E6" s="6" t="n">
        <v>65.2</v>
      </c>
      <c r="F6" s="6" t="n">
        <v>47.7</v>
      </c>
      <c r="G6" s="6" t="n">
        <v>24.5</v>
      </c>
      <c r="H6" s="6" t="n">
        <v>68</v>
      </c>
      <c r="I6" s="6" t="inlineStr">
        <is>
          <t>SEVERE (&gt;70% Growth at Risk)</t>
        </is>
      </c>
    </row>
    <row r="7">
      <c r="A7" s="6" t="inlineStr">
        <is>
          <t>CDSL</t>
        </is>
      </c>
      <c r="B7" s="6" t="inlineStr">
        <is>
          <t>CDSL.NS</t>
        </is>
      </c>
      <c r="C7" s="6" t="n">
        <v>1540</v>
      </c>
      <c r="D7" s="6" t="n">
        <v>32186</v>
      </c>
      <c r="E7" s="6" t="n">
        <v>67.7</v>
      </c>
      <c r="F7" s="6" t="n">
        <v>48.7</v>
      </c>
      <c r="G7" s="6" t="n">
        <v>32.8</v>
      </c>
      <c r="H7" s="6" t="n">
        <v>91</v>
      </c>
      <c r="I7" s="6" t="inlineStr">
        <is>
          <t>LOW-MODERATE (Trading Churn)</t>
        </is>
      </c>
    </row>
    <row r="8">
      <c r="A8" s="6" t="inlineStr">
        <is>
          <t>KFin Technologies</t>
        </is>
      </c>
      <c r="B8" s="6" t="inlineStr">
        <is>
          <t>KFINTECH.NS</t>
        </is>
      </c>
      <c r="C8" s="6" t="n">
        <v>1080</v>
      </c>
      <c r="D8" s="6" t="n">
        <v>18522</v>
      </c>
      <c r="E8" s="6" t="n">
        <v>60.7</v>
      </c>
      <c r="F8" s="6" t="n">
        <v>40</v>
      </c>
      <c r="G8" s="6" t="n">
        <v>22.4</v>
      </c>
      <c r="H8" s="6" t="n">
        <v>74.5</v>
      </c>
      <c r="I8" s="6" t="inlineStr">
        <is>
          <t>ZERO (0% Direct F&amp;O)</t>
        </is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37" customWidth="1" min="3" max="3"/>
    <col width="39" customWidth="1" min="4" max="4"/>
    <col width="43" customWidth="1" min="5" max="5"/>
    <col width="21" customWidth="1" min="6" max="6"/>
    <col width="17" customWidth="1" min="7" max="7"/>
  </cols>
  <sheetData>
    <row r="1">
      <c r="A1" s="1" t="inlineStr">
        <is>
          <t>SCENARIO ANALYSIS &amp; COMPETITION STRESS-TEST MATRIX</t>
        </is>
      </c>
    </row>
    <row r="2"/>
    <row r="3"/>
    <row r="4">
      <c r="A4" s="7" t="inlineStr">
        <is>
          <t>Scenario</t>
        </is>
      </c>
      <c r="B4" s="7" t="inlineStr">
        <is>
          <t>Probability</t>
        </is>
      </c>
      <c r="C4" s="7" t="inlineStr">
        <is>
          <t>Equity AUM CAGR</t>
        </is>
      </c>
      <c r="D4" s="7" t="inlineStr">
        <is>
          <t>EBITDA Margin</t>
        </is>
      </c>
      <c r="E4" s="7" t="inlineStr">
        <is>
          <t>Target P/E</t>
        </is>
      </c>
      <c r="F4" s="7" t="inlineStr">
        <is>
          <t>Target Price (INR)</t>
        </is>
      </c>
      <c r="G4" s="7" t="inlineStr">
        <is>
          <t>Implied Upside</t>
        </is>
      </c>
    </row>
    <row r="5">
      <c r="A5" s="6" t="inlineStr">
        <is>
          <t>Bull Case</t>
        </is>
      </c>
      <c r="B5" s="6" t="inlineStr">
        <is>
          <t>25%</t>
        </is>
      </c>
      <c r="C5" s="6" t="inlineStr">
        <is>
          <t>22.0%</t>
        </is>
      </c>
      <c r="D5" s="6" t="inlineStr">
        <is>
          <t>48.0%</t>
        </is>
      </c>
      <c r="E5" s="6" t="inlineStr">
        <is>
          <t>52.0x</t>
        </is>
      </c>
      <c r="F5" s="6" t="n">
        <v>6280</v>
      </c>
      <c r="G5" s="6" t="inlineStr">
        <is>
          <t>+57.6%</t>
        </is>
      </c>
    </row>
    <row r="6">
      <c r="A6" s="14" t="inlineStr">
        <is>
          <t>Base Case</t>
        </is>
      </c>
      <c r="B6" s="14" t="inlineStr">
        <is>
          <t>50%</t>
        </is>
      </c>
      <c r="C6" s="14" t="inlineStr">
        <is>
          <t>16.0%</t>
        </is>
      </c>
      <c r="D6" s="14" t="inlineStr">
        <is>
          <t>45.5%</t>
        </is>
      </c>
      <c r="E6" s="14" t="inlineStr">
        <is>
          <t>48.0x</t>
        </is>
      </c>
      <c r="F6" s="14" t="n">
        <v>5120</v>
      </c>
      <c r="G6" s="14" t="inlineStr">
        <is>
          <t>+28.5%</t>
        </is>
      </c>
    </row>
    <row r="7">
      <c r="A7" s="6" t="inlineStr">
        <is>
          <t>Bear Case (Defensible)</t>
        </is>
      </c>
      <c r="B7" s="6" t="inlineStr">
        <is>
          <t>25%</t>
        </is>
      </c>
      <c r="C7" s="6" t="inlineStr">
        <is>
          <t>6.0%</t>
        </is>
      </c>
      <c r="D7" s="6" t="inlineStr">
        <is>
          <t>41.5%</t>
        </is>
      </c>
      <c r="E7" s="6" t="inlineStr">
        <is>
          <t>38.5x</t>
        </is>
      </c>
      <c r="F7" s="6" t="n">
        <v>3410</v>
      </c>
      <c r="G7" s="6" t="inlineStr">
        <is>
          <t>-14.4%</t>
        </is>
      </c>
    </row>
    <row r="8">
      <c r="A8" s="5" t="inlineStr">
        <is>
          <t>Probability-Weighted Expected Value</t>
        </is>
      </c>
      <c r="B8" s="5" t="inlineStr">
        <is>
          <t>100%</t>
        </is>
      </c>
      <c r="C8" s="5" t="inlineStr">
        <is>
          <t>15.0%</t>
        </is>
      </c>
      <c r="D8" s="5" t="inlineStr">
        <is>
          <t>45.1%</t>
        </is>
      </c>
      <c r="E8" s="5" t="inlineStr">
        <is>
          <t>46.6x</t>
        </is>
      </c>
      <c r="F8" s="5" t="n">
        <v>4982.5</v>
      </c>
      <c r="G8" s="5" t="inlineStr">
        <is>
          <t>+25.0%</t>
        </is>
      </c>
    </row>
    <row r="9"/>
    <row r="10"/>
    <row r="11">
      <c r="A11" s="3" t="inlineStr">
        <is>
          <t>STRESS TEST BENCHMARKING: IMPACT OF SEBI CURBS &amp; MARKET DRAWDOWN</t>
        </is>
      </c>
    </row>
    <row r="12"/>
    <row r="13">
      <c r="A13" s="7" t="inlineStr">
        <is>
          <t>Peer Company</t>
        </is>
      </c>
      <c r="B13" s="7" t="inlineStr">
        <is>
          <t>30% Derivatives Turnover Shock</t>
        </is>
      </c>
      <c r="C13" s="7" t="inlineStr">
        <is>
          <t>20% Equity Market Correction</t>
        </is>
      </c>
      <c r="D13" s="7" t="inlineStr">
        <is>
          <t>Maximum Combined Bear Drawdown</t>
        </is>
      </c>
      <c r="E13" s="7" t="inlineStr">
        <is>
          <t>Fiduciary Verdict</t>
        </is>
      </c>
    </row>
    <row r="14">
      <c r="A14" s="6" t="inlineStr">
        <is>
          <t>BSE Ltd</t>
        </is>
      </c>
      <c r="B14" s="6" t="inlineStr">
        <is>
          <t>-38% PAT plunge; P/E de-rates to 32x</t>
        </is>
      </c>
      <c r="C14" s="6" t="inlineStr">
        <is>
          <t>Cash turnover down 25%</t>
        </is>
      </c>
      <c r="D14" s="6" t="inlineStr">
        <is>
          <t>-52.0% to -55.0%</t>
        </is>
      </c>
      <c r="E14" s="6" t="inlineStr">
        <is>
          <t>FAIL: Extreme Unhedged Downside</t>
        </is>
      </c>
    </row>
    <row r="15">
      <c r="A15" s="6" t="inlineStr">
        <is>
          <t>CDSL</t>
        </is>
      </c>
      <c r="B15" s="6" t="inlineStr">
        <is>
          <t>-8% KYC registration hit</t>
        </is>
      </c>
      <c r="C15" s="6" t="inlineStr">
        <is>
          <t>Debit transactions down 22%</t>
        </is>
      </c>
      <c r="D15" s="6" t="inlineStr">
        <is>
          <t>-32.0%</t>
        </is>
      </c>
      <c r="E15" s="6" t="inlineStr">
        <is>
          <t>MODERATE: Vulnerable to Demat Freeze</t>
        </is>
      </c>
    </row>
    <row r="16">
      <c r="A16" s="5" t="inlineStr">
        <is>
          <t>CAMS (Pick)</t>
        </is>
      </c>
      <c r="B16" s="5" t="inlineStr">
        <is>
          <t>0.0% Direct Impact (Sticky SIPs)</t>
        </is>
      </c>
      <c r="C16" s="5" t="inlineStr">
        <is>
          <t>-12% AUM (Buffered by SIP inflows)</t>
        </is>
      </c>
      <c r="D16" s="5" t="inlineStr">
        <is>
          <t>-14.4% (Floor protected by Net Cash)</t>
        </is>
      </c>
      <c r="E16" s="5" t="inlineStr">
        <is>
          <t>PASS: Pristine Defensive Growth</t>
        </is>
      </c>
    </row>
    <row r="17">
      <c r="A17" s="6" t="inlineStr">
        <is>
          <t>KFintech</t>
        </is>
      </c>
      <c r="B17" s="6" t="inlineStr">
        <is>
          <t>0.0% Direct Impact</t>
        </is>
      </c>
      <c r="C17" s="6" t="inlineStr">
        <is>
          <t>-14% AUM drop; issuer fees hit</t>
        </is>
      </c>
      <c r="D17" s="6" t="inlineStr">
        <is>
          <t>-24.5%</t>
        </is>
      </c>
      <c r="E17" s="6" t="inlineStr">
        <is>
          <t>PASSABLE: Lower RoCE / Client Churn Risk</t>
        </is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3" customWidth="1" min="2" max="2"/>
    <col width="58" customWidth="1" min="3" max="3"/>
    <col width="3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FINANCIAL DUE DILIGENCE (FDD) &amp; CORPORATE GOVERNANCE AUDIT</t>
        </is>
      </c>
    </row>
    <row r="2"/>
    <row r="3"/>
    <row r="4">
      <c r="A4" s="7" t="inlineStr">
        <is>
          <t>FDD Dimension</t>
        </is>
      </c>
      <c r="B4" s="7" t="inlineStr">
        <is>
          <t>Audit Finding (CAMS)</t>
        </is>
      </c>
      <c r="C4" s="7" t="inlineStr">
        <is>
          <t>Peer Risk Comparison</t>
        </is>
      </c>
      <c r="D4" s="7" t="inlineStr">
        <is>
          <t>Risk Severity</t>
        </is>
      </c>
    </row>
    <row r="5">
      <c r="A5" s="4" t="inlineStr">
        <is>
          <t>Cash Conversion Quality</t>
        </is>
      </c>
      <c r="B5" s="6" t="inlineStr">
        <is>
          <t>CFO/EBITDA: 91.2%, FCF/PAT: 88.5%. Negative working capital cycle (-18 days).</t>
        </is>
      </c>
      <c r="C5" s="6" t="inlineStr">
        <is>
          <t>BSE: 68.0% (clearing margin tie-ups); KFin: 74.5%.</t>
        </is>
      </c>
      <c r="D5" s="5" t="inlineStr">
        <is>
          <t>LOW / PRISTINE</t>
        </is>
      </c>
    </row>
    <row r="6">
      <c r="A6" s="4" t="inlineStr">
        <is>
          <t>Capex &amp; Capital Intensity</t>
        </is>
      </c>
      <c r="B6" s="6" t="inlineStr">
        <is>
          <t>Capex is only 2.5-2.8% of revenue (INR 32-38 Cr/yr), 100% IT and cloud infra.</t>
        </is>
      </c>
      <c r="C6" s="6" t="inlineStr">
        <is>
          <t>BSE: 8.5% (hardware colo/exchange engines); KFin: 6.8%.</t>
        </is>
      </c>
      <c r="D6" s="5" t="inlineStr">
        <is>
          <t>LOW / HIGH ASSET TURNOVER</t>
        </is>
      </c>
    </row>
    <row r="7">
      <c r="A7" s="4" t="inlineStr">
        <is>
          <t>Related-Party Transactions (RPT)</t>
        </is>
      </c>
      <c r="B7" s="6" t="inlineStr">
        <is>
          <t>Clean RPT register: Transactions limited to subsidiary leases and arm's-length IT fees. Zero promoter loan siphoning. Great Terrain PE exited cleanly via open market.</t>
        </is>
      </c>
      <c r="C7" s="6" t="inlineStr">
        <is>
          <t>BSE has complex inter-corporate deposits with ICCL clearing corp; CDSL has historically high RPT with BSE (parent exchange).</t>
        </is>
      </c>
      <c r="D7" s="5" t="inlineStr">
        <is>
          <t>LOW / EXEMPLARY</t>
        </is>
      </c>
    </row>
    <row r="8">
      <c r="A8" s="4" t="inlineStr">
        <is>
          <t>Accounting Quality &amp; Conservatism</t>
        </is>
      </c>
      <c r="B8" s="6" t="inlineStr">
        <is>
          <t>Piotroski F-Score: 8/9. Beneish M-Score: -2.85 (No earnings manipulation detected). Zero R&amp;D/software development capitalization.</t>
        </is>
      </c>
      <c r="C8" s="6" t="inlineStr">
        <is>
          <t>Clean across top-4, but CAMS exhibits zero aggressive asset capitalization.</t>
        </is>
      </c>
      <c r="D8" s="5" t="inlineStr">
        <is>
          <t>LOW / PASS</t>
        </is>
      </c>
    </row>
    <row r="9">
      <c r="A9" s="4" t="inlineStr">
        <is>
          <t>Customer Concentration Risk</t>
        </is>
      </c>
      <c r="B9" s="6" t="inlineStr">
        <is>
          <t>Top 5 AMCs represent 62% of revenue. However, weighted average relationship length &gt;18 years with zero client defection.</t>
        </is>
      </c>
      <c r="C9" s="6" t="inlineStr">
        <is>
          <t>KFintech top 5 AMCs represent 58% of MF revenue, with higher RFP re-bidding risk.</t>
        </is>
      </c>
      <c r="D9" s="6" t="inlineStr">
        <is>
          <t>MODERATE / MITIGATED BY MOAT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2026-10-29T15:31:55Z</dcterms:created>
  <dcterms:modified xsi:type="dcterms:W3CDTF">2026-10-29T15:31:55Z</dcterms:modified>
</cp:coreProperties>
</file>